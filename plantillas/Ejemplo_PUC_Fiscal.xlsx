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13_ncr:1_{15CEE4A5-0F15-457F-A03C-F63C380176AF}" xr6:coauthVersionLast="47" xr6:coauthVersionMax="47" xr10:uidLastSave="{00000000-0000-0000-0000-000000000000}"/>
  <workbookProtection workbookAlgorithmName="SHA-512" workbookHashValue="ODs6/Y5C1T8If8VZdQoDz3eGo8afmI6hixLCnmwqBfj+S4tkL6lpimELZCEbG7qy7kL6M0lcvawMYwMFvDicGQ==" workbookSaltValue="LNJjzeZs4HZrU+hHOa0q5Q==" workbookSpinCount="100000" lockStructure="1"/>
  <bookViews>
    <workbookView xWindow="-120" yWindow="-120" windowWidth="20730" windowHeight="11040" xr2:uid="{00000000-000D-0000-FFFF-FFFF00000000}"/>
  </bookViews>
  <sheets>
    <sheet name="MIGRACION" sheetId="1" r:id="rId1"/>
    <sheet name="Descripción" sheetId="9" r:id="rId2"/>
  </sheets>
  <definedNames>
    <definedName name="_xlnm._FilterDatabase" localSheetId="0" hidden="1">MIGRACION!$A$1:$K$1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1" l="1"/>
  <c r="K32" i="1"/>
  <c r="K31" i="1"/>
  <c r="K26" i="1"/>
  <c r="K25" i="1"/>
  <c r="K24" i="1"/>
  <c r="K23" i="1"/>
  <c r="K21" i="1"/>
  <c r="K20" i="1"/>
  <c r="K18" i="1"/>
  <c r="K15" i="1"/>
  <c r="K10" i="1"/>
  <c r="K7" i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Leonardo Olaya</author>
    <author>Carlos Fernando Beltran Caicedo</author>
  </authors>
  <commentList>
    <comment ref="A1" authorId="0" shapeId="0" xr:uid="{7459BAD3-733C-4210-AF38-2AB3B1BD5006}">
      <text>
        <r>
          <rPr>
            <sz val="8"/>
            <color indexed="81"/>
            <rFont val="Tahoma"/>
            <family val="2"/>
          </rPr>
          <t>Código de la cuenta contable. Debe ser un número entero.</t>
        </r>
      </text>
    </comment>
    <comment ref="B1" authorId="0" shapeId="0" xr:uid="{01F402E2-EEDF-4C77-A412-971E467E001A}">
      <text>
        <r>
          <rPr>
            <sz val="8"/>
            <color indexed="81"/>
            <rFont val="Tahoma"/>
            <family val="2"/>
          </rPr>
          <t>Nombre de la cuenta contable. Campo alfanumérico.</t>
        </r>
      </text>
    </comment>
    <comment ref="C1" authorId="0" shapeId="0" xr:uid="{14224CC6-322C-409E-8045-0999F744F596}">
      <text>
        <r>
          <rPr>
            <sz val="8"/>
            <color indexed="81"/>
            <rFont val="Tahoma"/>
            <family val="2"/>
          </rPr>
          <t xml:space="preserve">Tipo de cuenta contable.
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 [Maestro]
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[Auxiliar]</t>
        </r>
      </text>
    </comment>
    <comment ref="D1" authorId="0" shapeId="0" xr:uid="{20F81BFC-7F47-44CB-AE96-D5F4766541AE}">
      <text>
        <r>
          <rPr>
            <sz val="8"/>
            <color indexed="81"/>
            <rFont val="Tahoma"/>
            <family val="2"/>
          </rPr>
          <t xml:space="preserve">Si la cuenta contable requiere centro de costo.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E1" authorId="0" shapeId="0" xr:uid="{A3160559-D071-4880-B159-753CC38A8D6C}">
      <text>
        <r>
          <rPr>
            <sz val="8"/>
            <color indexed="81"/>
            <rFont val="Tahoma"/>
            <family val="2"/>
          </rPr>
          <t xml:space="preserve">Si la cuenta contable requiere tercero.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F1" authorId="0" shapeId="0" xr:uid="{64CEC981-7A9F-4923-8AB6-364329502277}">
      <text>
        <r>
          <rPr>
            <sz val="8"/>
            <color indexed="81"/>
            <rFont val="Tahoma"/>
            <family val="2"/>
          </rPr>
          <t xml:space="preserve">Si la cuenta contable requiere base.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</t>
        </r>
      </text>
    </comment>
    <comment ref="G1" authorId="0" shapeId="0" xr:uid="{C453F72B-DDA7-49BE-AEDC-52BF53476635}">
      <text>
        <r>
          <rPr>
            <sz val="8"/>
            <color indexed="81"/>
            <rFont val="Tahoma"/>
            <family val="2"/>
          </rPr>
          <t>Porcentaje sobre la base requerida, para las cuentas de RTEICA se debe correr a la derecha el punto decimal.
Campo tipo numerico.</t>
        </r>
      </text>
    </comment>
    <comment ref="H1" authorId="0" shapeId="0" xr:uid="{107D5088-717A-4B16-A99E-138826F611F7}">
      <text>
        <r>
          <rPr>
            <sz val="8"/>
            <color indexed="81"/>
            <rFont val="Tahoma"/>
            <family val="2"/>
          </rPr>
          <t>Base mínima para la aplicación de Rete fuente, Rete IVA y Rete ICA , diligenciar únicamente para estas cuentas.
Campo tipo numérico.</t>
        </r>
      </text>
    </comment>
    <comment ref="I1" authorId="0" shapeId="0" xr:uid="{2367D5DC-AEBB-40A2-87F3-79A3C97EE2AC}">
      <text>
        <r>
          <rPr>
            <sz val="8"/>
            <color indexed="81"/>
            <rFont val="Tahoma"/>
            <family val="2"/>
          </rPr>
          <t xml:space="preserve">Cuentas que tienen naturaleza contraria a la   clase que pertenece.
</t>
        </r>
        <r>
          <rPr>
            <b/>
            <sz val="8"/>
            <color indexed="81"/>
            <rFont val="Tahoma"/>
            <family val="2"/>
          </rPr>
          <t>0</t>
        </r>
        <r>
          <rPr>
            <sz val="8"/>
            <color indexed="81"/>
            <rFont val="Tahoma"/>
            <family val="2"/>
          </rPr>
          <t xml:space="preserve"> [ No tiene]
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 xml:space="preserve"> [Si tiene]</t>
        </r>
      </text>
    </comment>
    <comment ref="J1" authorId="1" shapeId="0" xr:uid="{14D7D717-0D97-42F3-A9B4-C8A64A9C549C}">
      <text>
        <r>
          <rPr>
            <sz val="9"/>
            <color indexed="81"/>
            <rFont val="Tahoma"/>
            <family val="2"/>
          </rPr>
          <t xml:space="preserve">Clasificación de cuentas, Corriente y No Corriente.
</t>
        </r>
        <r>
          <rPr>
            <b/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Tahoma"/>
            <family val="2"/>
          </rPr>
          <t>[No aplica]</t>
        </r>
        <r>
          <rPr>
            <b/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Tahoma"/>
            <family val="2"/>
          </rPr>
          <t xml:space="preserve"> [Corto Plazo]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[Largo Plazo]</t>
        </r>
      </text>
    </comment>
    <comment ref="K1" authorId="2" shapeId="0" xr:uid="{545443D9-CD0F-444B-A116-9FC6720F684B}">
      <text>
        <r>
          <rPr>
            <sz val="9"/>
            <color indexed="81"/>
            <rFont val="Tahoma"/>
            <family val="2"/>
          </rPr>
          <t xml:space="preserve">Cuenta del Puc Principal que es equivalencia de esta cuenta.
</t>
        </r>
      </text>
    </comment>
  </commentList>
</comments>
</file>

<file path=xl/sharedStrings.xml><?xml version="1.0" encoding="utf-8"?>
<sst xmlns="http://schemas.openxmlformats.org/spreadsheetml/2006/main" count="193" uniqueCount="79">
  <si>
    <t>Código</t>
  </si>
  <si>
    <t>Descripción</t>
  </si>
  <si>
    <t>Tipo</t>
  </si>
  <si>
    <t>Requiere Centro Costo</t>
  </si>
  <si>
    <t>Requiere Tercero</t>
  </si>
  <si>
    <t>Requiere Base</t>
  </si>
  <si>
    <t>%</t>
  </si>
  <si>
    <t>Base Mínima</t>
  </si>
  <si>
    <t>Naturaleza Contraria</t>
  </si>
  <si>
    <t>Plazo</t>
  </si>
  <si>
    <t>Equivalencia</t>
  </si>
  <si>
    <r>
      <t xml:space="preserve"> </t>
    </r>
    <r>
      <rPr>
        <b/>
        <sz val="11"/>
        <color indexed="8"/>
        <rFont val="Calibri"/>
        <family val="2"/>
      </rPr>
      <t>Campo</t>
    </r>
  </si>
  <si>
    <t xml:space="preserve">Características del Campo </t>
  </si>
  <si>
    <t>Campo destinado para registrar el código de la cuenta contable. Los requisitos de una cuenta contable son: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</si>
  <si>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numérico, donde el número es entero y no debe contar con ningún tipo de signo. (Máximo 15 caracteres)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</si>
  <si>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debe haber cuentas contables duplicadas.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</si>
  <si>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</si>
  <si>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tener un nivel bien definido entre cuentas auxiliares y cuentas maestras.</t>
    </r>
  </si>
  <si>
    <t>Campo destinado para ingresar la descripción de la cuenta contable. Campo obligatorio.</t>
  </si>
  <si>
    <t>Permite identificar si la cuenta es de tipo maestra o auxiliar.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</si>
  <si>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[M] Si la cuenta es maestra.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</si>
  <si>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[A] Si la cuenta es auxiliar.</t>
    </r>
  </si>
  <si>
    <t>Requiere
Centro Costo</t>
  </si>
  <si>
    <t>Aplica solo para cuentas de tipo auxiliar, permite identificar si la cuenta requiere o no centro de costos.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</si>
  <si>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</si>
  <si>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</si>
  <si>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</t>
    </r>
    <r>
      <rPr>
        <sz val="11"/>
        <color theme="1"/>
        <rFont val="Symbol"/>
        <family val="1"/>
        <charset val="2"/>
      </rPr>
      <t>.</t>
    </r>
  </si>
  <si>
    <t>Aplica solo para cuentas de tipo auxiliar, permite identificar si la cuenta requiere o no tercero.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</si>
  <si>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tercero</t>
    </r>
    <r>
      <rPr>
        <sz val="11"/>
        <color theme="1"/>
        <rFont val="Symbol"/>
        <family val="1"/>
        <charset val="2"/>
      </rPr>
      <t>.</t>
    </r>
  </si>
  <si>
    <t>Requiere
Base</t>
  </si>
  <si>
    <t>Aplica solo cuentas de tipo auxiliar asociadas a los conceptos de impuestos, gravámenes y/o tasas, permitiendo identificar si la cuenta requiere o no base gravable.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</si>
  <si>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</si>
  <si>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</si>
  <si>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[N].</t>
    </r>
  </si>
  <si>
    <t>Campo numérico, aplica solo cuentas de tipo auxiliar asociadas a los conceptos de impuestos, gravámenes y/o tasas, el porcentaje configurado es el aplicado a la base gravable respectiva.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</si>
  <si>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Para una retención donde el porcentaje es del dos punto cinco por ciento, se debe ingresar 2.5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</si>
  <si>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la cuenta es de retención de ICA y el porcentaje de retención es del nueve punto seis por mil, se debe ingresar 0.96. No es correcto ingresar valores como '2.5%' o '0.025'.</t>
    </r>
  </si>
  <si>
    <t>Aplica solo para cuentas de tipo auxiliar que requieran Base y tengan configurado %.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</si>
  <si>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10000.56       (Correcto)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</si>
  <si>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$ 10,000.56   (Incorrecto)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</si>
  <si>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-10,000.56      (Incorrecto)</t>
    </r>
  </si>
  <si>
    <t>Permite identificar si la cuenta posee naturaleza contraria respecto a la clase asociada al código de registro.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</si>
  <si>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Indicando que no es cuenta con naturaleza contraria.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</si>
  <si>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Indicando que es cuenta con naturaleza contraria.</t>
    </r>
  </si>
  <si>
    <t>Permite identificar la clasificación de la cuenta según su plazo.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</si>
  <si>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[0] No aplica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</si>
  <si>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[1] Corto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</si>
  <si>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[2] Largo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</si>
  <si>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[0]</t>
    </r>
  </si>
  <si>
    <t>Código de la cuenta contable del PUC Principal que es equivalente a esta cuenta contable, solo aplica para cuentas de tipo auxiliar.</t>
  </si>
  <si>
    <t>ACTIVO</t>
  </si>
  <si>
    <t>M</t>
  </si>
  <si>
    <t>N</t>
  </si>
  <si>
    <t xml:space="preserve">DISPONIBLE                                        </t>
  </si>
  <si>
    <t xml:space="preserve">BANCOS                                            </t>
  </si>
  <si>
    <t xml:space="preserve">BANCOS MONEDA NACIONAL                                   </t>
  </si>
  <si>
    <t xml:space="preserve"> BCO COLPATRIA CTA CTE 4931                      </t>
  </si>
  <si>
    <t>A</t>
  </si>
  <si>
    <t>S</t>
  </si>
  <si>
    <t xml:space="preserve">CTA CORRIENTE BANCOLOMBIA 0871                    </t>
  </si>
  <si>
    <t xml:space="preserve">CUENTAS DE AHORROS                                </t>
  </si>
  <si>
    <t xml:space="preserve"> BCO COLPATRIA CTA AHO 7069                      </t>
  </si>
  <si>
    <t>IVA MAYOR VALOR DEL COSTOS</t>
  </si>
  <si>
    <t xml:space="preserve">RETENCIONES EN LA FUENTE                          </t>
  </si>
  <si>
    <t xml:space="preserve">SALARIOS Y PAGOS LABORALES                        </t>
  </si>
  <si>
    <t xml:space="preserve">HONORARIOS                                        </t>
  </si>
  <si>
    <t xml:space="preserve">HONORARIOS 11%                                    </t>
  </si>
  <si>
    <t xml:space="preserve">HONORARIOS 10%                                    </t>
  </si>
  <si>
    <t xml:space="preserve">SERVICIOS                                         </t>
  </si>
  <si>
    <t xml:space="preserve">1% SERVICIO DE TRANSPORTE DE CARGA      </t>
  </si>
  <si>
    <t xml:space="preserve">2%  SERVICIOS                                    </t>
  </si>
  <si>
    <t xml:space="preserve">4%  SERVICIOS DECLARANTES                                    </t>
  </si>
  <si>
    <t xml:space="preserve">6% SERVICIOS NO DECLARANTES                                   </t>
  </si>
  <si>
    <t xml:space="preserve">IMPUESTO DE INDUSTRIA Y COMERCIO RETENID          </t>
  </si>
  <si>
    <t>ICA RETENIDO  BOGOTA</t>
  </si>
  <si>
    <t>6.9 POR HONORARIOS RS  BTA</t>
  </si>
  <si>
    <t>9.66 POR SERVICIOS BTA</t>
  </si>
  <si>
    <t>6.9 POR HONORARIOS RC BTA</t>
  </si>
  <si>
    <t>ANTICIPO A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</si>
</sst>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indexed="8"/>
      <name val="Times New Roman"/>
      <family val="1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0"/>
      <name val="MS Sans Serif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2" borderId="0">
      <alignment horizontal="center" vertical="center"/>
    </xf>
    <xf numFmtId="0" fontId="7" fillId="2" borderId="0"/>
    <xf numFmtId="0" fontId="10" fillId="0" borderId="0"/>
  </cellStyleXfs>
  <cellXfs count="33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9" fillId="0" borderId="4" xfId="0" applyFont="1" applyBorder="1" applyAlignment="1">
      <alignment horizontal="left" vertical="center" wrapText="1" indent="5"/>
    </xf>
    <xf numFmtId="0" fontId="9" fillId="0" borderId="5" xfId="0" applyFont="1" applyBorder="1" applyAlignment="1">
      <alignment horizontal="left" vertical="center" wrapText="1" indent="5"/>
    </xf>
    <xf numFmtId="1" fontId="8" fillId="3" borderId="1" xfId="0" applyNumberFormat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1" fontId="0" fillId="0" borderId="0" xfId="0" applyNumberFormat="1"/>
    <xf numFmtId="0" fontId="0" fillId="0" borderId="8" xfId="0" applyBorder="1" applyAlignment="1">
      <alignment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9" fillId="0" borderId="12" xfId="0" applyFont="1" applyBorder="1" applyAlignment="1">
      <alignment horizontal="left" vertical="center" wrapText="1" indent="5"/>
    </xf>
    <xf numFmtId="0" fontId="9" fillId="0" borderId="14" xfId="0" applyFont="1" applyBorder="1" applyAlignment="1">
      <alignment horizontal="left" vertical="center" wrapText="1" indent="5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1" fontId="11" fillId="0" borderId="0" xfId="3" applyNumberFormat="1" applyFont="1" applyProtection="1">
      <protection locked="0"/>
    </xf>
    <xf numFmtId="0" fontId="11" fillId="0" borderId="0" xfId="3" applyFont="1" applyProtection="1">
      <protection locked="0"/>
    </xf>
    <xf numFmtId="0" fontId="12" fillId="0" borderId="0" xfId="0" applyFont="1" applyProtection="1">
      <protection locked="0"/>
    </xf>
    <xf numFmtId="1" fontId="13" fillId="0" borderId="0" xfId="3" applyNumberFormat="1" applyFont="1" applyProtection="1">
      <protection locked="0"/>
    </xf>
    <xf numFmtId="0" fontId="13" fillId="0" borderId="0" xfId="3" applyFont="1" applyProtection="1">
      <protection locked="0"/>
    </xf>
    <xf numFmtId="0" fontId="14" fillId="0" borderId="0" xfId="0" applyFont="1" applyProtection="1">
      <protection locked="0"/>
    </xf>
    <xf numFmtId="1" fontId="14" fillId="0" borderId="0" xfId="0" applyNumberFormat="1" applyFont="1" applyAlignment="1" applyProtection="1">
      <alignment horizontal="right"/>
      <protection locked="0"/>
    </xf>
    <xf numFmtId="49" fontId="13" fillId="0" borderId="0" xfId="3" applyNumberFormat="1" applyFont="1" applyAlignment="1" applyProtection="1">
      <alignment horizontal="right"/>
      <protection locked="0"/>
    </xf>
    <xf numFmtId="49" fontId="0" fillId="0" borderId="0" xfId="0" applyNumberFormat="1" applyAlignment="1">
      <alignment horizontal="right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4">
    <cellStyle name="EstiloLabel" xfId="1" xr:uid="{00000000-0005-0000-0000-000000000000}"/>
    <cellStyle name="Normal" xfId="0" builtinId="0"/>
    <cellStyle name="Normal 2" xfId="3" xr:uid="{181987B2-D80B-4A1E-95BC-0BD355ED80BC}"/>
    <cellStyle name="SinEstilo" xfId="2" xr:uid="{00000000-0005-0000-0000-00000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90" zoomScaleNormal="90" workbookViewId="0">
      <pane ySplit="1" topLeftCell="A2" activePane="bottomLeft" state="frozen"/>
      <selection pane="bottomLeft" activeCell="E10" sqref="E10"/>
    </sheetView>
  </sheetViews>
  <sheetFormatPr defaultColWidth="11.42578125" defaultRowHeight="15" x14ac:dyDescent="0.25"/>
  <cols>
    <col min="1" max="1" width="15.28515625" style="8" customWidth="1"/>
    <col min="2" max="2" width="40.85546875" customWidth="1"/>
    <col min="3" max="3" width="19.140625" customWidth="1"/>
    <col min="4" max="4" width="17" bestFit="1" customWidth="1"/>
    <col min="5" max="6" width="13.85546875" bestFit="1" customWidth="1"/>
    <col min="7" max="7" width="8" bestFit="1" customWidth="1"/>
    <col min="8" max="8" width="17.42578125" bestFit="1" customWidth="1"/>
    <col min="9" max="9" width="15.5703125" bestFit="1" customWidth="1"/>
    <col min="10" max="10" width="10.85546875" bestFit="1" customWidth="1"/>
    <col min="11" max="11" width="17" style="8" bestFit="1" customWidth="1"/>
  </cols>
  <sheetData>
    <row r="1" spans="1:11" ht="45" customHeight="1" x14ac:dyDescent="0.25">
      <c r="A1" s="6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1" t="s">
        <v>8</v>
      </c>
      <c r="J1" s="6" t="s">
        <v>9</v>
      </c>
      <c r="K1" s="6" t="s">
        <v>10</v>
      </c>
    </row>
    <row r="2" spans="1:11" ht="15.75" x14ac:dyDescent="0.25">
      <c r="A2" s="18">
        <v>1</v>
      </c>
      <c r="B2" s="19" t="s">
        <v>50</v>
      </c>
      <c r="C2" s="20" t="s">
        <v>51</v>
      </c>
      <c r="D2" s="20" t="s">
        <v>52</v>
      </c>
      <c r="E2" s="20" t="s">
        <v>52</v>
      </c>
      <c r="F2" s="20" t="s">
        <v>52</v>
      </c>
      <c r="G2" s="20"/>
      <c r="H2" s="20"/>
      <c r="I2" s="20">
        <v>0</v>
      </c>
      <c r="J2" s="7">
        <v>0</v>
      </c>
      <c r="K2"/>
    </row>
    <row r="3" spans="1:11" ht="15.75" x14ac:dyDescent="0.25">
      <c r="A3" s="18">
        <v>11</v>
      </c>
      <c r="B3" s="19" t="s">
        <v>53</v>
      </c>
      <c r="C3" s="20" t="s">
        <v>51</v>
      </c>
      <c r="D3" s="20" t="s">
        <v>52</v>
      </c>
      <c r="E3" s="20" t="s">
        <v>52</v>
      </c>
      <c r="F3" s="20" t="s">
        <v>52</v>
      </c>
      <c r="G3" s="20"/>
      <c r="H3" s="20"/>
      <c r="I3" s="20">
        <v>0</v>
      </c>
      <c r="J3" s="7">
        <v>0</v>
      </c>
      <c r="K3"/>
    </row>
    <row r="4" spans="1:11" ht="15.75" x14ac:dyDescent="0.25">
      <c r="A4" s="18">
        <v>1110</v>
      </c>
      <c r="B4" s="19" t="s">
        <v>54</v>
      </c>
      <c r="C4" s="20" t="s">
        <v>51</v>
      </c>
      <c r="D4" s="20" t="s">
        <v>52</v>
      </c>
      <c r="E4" s="20" t="s">
        <v>52</v>
      </c>
      <c r="F4" s="20" t="s">
        <v>52</v>
      </c>
      <c r="G4" s="20"/>
      <c r="H4" s="20"/>
      <c r="I4" s="20">
        <v>0</v>
      </c>
      <c r="J4" s="7">
        <v>0</v>
      </c>
      <c r="K4"/>
    </row>
    <row r="5" spans="1:11" ht="15.75" x14ac:dyDescent="0.25">
      <c r="A5" s="18">
        <v>111005</v>
      </c>
      <c r="B5" s="19" t="s">
        <v>55</v>
      </c>
      <c r="C5" s="20" t="s">
        <v>51</v>
      </c>
      <c r="D5" s="20" t="s">
        <v>52</v>
      </c>
      <c r="E5" s="20" t="s">
        <v>52</v>
      </c>
      <c r="F5" s="20" t="s">
        <v>52</v>
      </c>
      <c r="G5" s="20"/>
      <c r="H5" s="20"/>
      <c r="I5" s="20">
        <v>0</v>
      </c>
      <c r="J5" s="7">
        <v>0</v>
      </c>
      <c r="K5"/>
    </row>
    <row r="6" spans="1:11" ht="15.75" x14ac:dyDescent="0.25">
      <c r="A6" s="21">
        <v>11100501</v>
      </c>
      <c r="B6" s="22" t="s">
        <v>56</v>
      </c>
      <c r="C6" s="23" t="s">
        <v>57</v>
      </c>
      <c r="D6" s="23" t="s">
        <v>58</v>
      </c>
      <c r="E6" s="23" t="s">
        <v>58</v>
      </c>
      <c r="F6" s="23" t="s">
        <v>52</v>
      </c>
      <c r="G6" s="23"/>
      <c r="H6" s="23"/>
      <c r="I6" s="23">
        <v>0</v>
      </c>
      <c r="J6" s="7">
        <v>1</v>
      </c>
      <c r="K6" s="8">
        <f>+A6</f>
        <v>11100501</v>
      </c>
    </row>
    <row r="7" spans="1:11" ht="15.75" x14ac:dyDescent="0.25">
      <c r="A7" s="21">
        <v>11100502</v>
      </c>
      <c r="B7" s="22" t="s">
        <v>59</v>
      </c>
      <c r="C7" s="23" t="s">
        <v>57</v>
      </c>
      <c r="D7" s="23" t="s">
        <v>58</v>
      </c>
      <c r="E7" s="23" t="s">
        <v>58</v>
      </c>
      <c r="F7" s="23" t="s">
        <v>52</v>
      </c>
      <c r="G7" s="23"/>
      <c r="H7" s="23"/>
      <c r="I7" s="23">
        <v>0</v>
      </c>
      <c r="J7" s="7">
        <v>1</v>
      </c>
      <c r="K7" s="8">
        <f>+A7</f>
        <v>11100502</v>
      </c>
    </row>
    <row r="8" spans="1:11" ht="15.75" x14ac:dyDescent="0.25">
      <c r="A8" s="18">
        <v>1120</v>
      </c>
      <c r="B8" s="19" t="s">
        <v>60</v>
      </c>
      <c r="C8" s="20" t="s">
        <v>51</v>
      </c>
      <c r="D8" s="20" t="s">
        <v>52</v>
      </c>
      <c r="E8" s="20" t="s">
        <v>52</v>
      </c>
      <c r="F8" s="20" t="s">
        <v>52</v>
      </c>
      <c r="G8" s="20"/>
      <c r="H8" s="20"/>
      <c r="I8" s="20">
        <v>0</v>
      </c>
      <c r="J8" s="7">
        <v>0</v>
      </c>
      <c r="K8"/>
    </row>
    <row r="9" spans="1:11" ht="15.75" x14ac:dyDescent="0.25">
      <c r="A9" s="18">
        <v>112005</v>
      </c>
      <c r="B9" s="19" t="s">
        <v>54</v>
      </c>
      <c r="C9" s="20" t="s">
        <v>51</v>
      </c>
      <c r="D9" s="20" t="s">
        <v>52</v>
      </c>
      <c r="E9" s="20" t="s">
        <v>52</v>
      </c>
      <c r="F9" s="20" t="s">
        <v>52</v>
      </c>
      <c r="G9" s="20"/>
      <c r="H9" s="20"/>
      <c r="I9" s="20">
        <v>0</v>
      </c>
      <c r="J9" s="7">
        <v>0</v>
      </c>
      <c r="K9"/>
    </row>
    <row r="10" spans="1:11" ht="15.75" x14ac:dyDescent="0.25">
      <c r="A10" s="21">
        <v>11200502</v>
      </c>
      <c r="B10" s="22" t="s">
        <v>61</v>
      </c>
      <c r="C10" s="23" t="s">
        <v>57</v>
      </c>
      <c r="D10" s="23" t="s">
        <v>58</v>
      </c>
      <c r="E10" s="23" t="s">
        <v>58</v>
      </c>
      <c r="F10" s="23" t="s">
        <v>52</v>
      </c>
      <c r="G10" s="23"/>
      <c r="H10" s="23"/>
      <c r="I10" s="23">
        <v>0</v>
      </c>
      <c r="J10" s="7">
        <v>1</v>
      </c>
      <c r="K10" s="8">
        <f>+A10</f>
        <v>11200502</v>
      </c>
    </row>
    <row r="11" spans="1:11" ht="15.75" x14ac:dyDescent="0.25">
      <c r="A11" s="21"/>
      <c r="B11" s="22"/>
      <c r="C11" s="23"/>
      <c r="D11" s="23"/>
      <c r="E11" s="23"/>
      <c r="F11" s="23"/>
      <c r="G11" s="23"/>
      <c r="H11" s="23"/>
      <c r="I11" s="23"/>
      <c r="J11" s="7"/>
    </row>
    <row r="12" spans="1:11" ht="15.75" x14ac:dyDescent="0.25">
      <c r="A12" s="21">
        <v>13300502</v>
      </c>
      <c r="B12" s="22" t="s">
        <v>78</v>
      </c>
      <c r="C12" s="23" t="s">
        <v>57</v>
      </c>
      <c r="D12" s="23" t="s">
        <v>58</v>
      </c>
      <c r="E12" s="23" t="s">
        <v>58</v>
      </c>
      <c r="F12" s="23" t="s">
        <v>52</v>
      </c>
      <c r="G12" s="23"/>
      <c r="H12" s="23"/>
      <c r="I12" s="23">
        <v>0</v>
      </c>
      <c r="J12" s="7">
        <v>1</v>
      </c>
      <c r="K12" s="24">
        <v>14150590</v>
      </c>
    </row>
    <row r="13" spans="1:11" ht="15.75" x14ac:dyDescent="0.25">
      <c r="A13" s="21"/>
      <c r="B13" s="22"/>
      <c r="C13" s="23"/>
      <c r="D13" s="23"/>
      <c r="E13" s="23"/>
      <c r="F13" s="23"/>
      <c r="G13" s="23"/>
      <c r="H13" s="23"/>
      <c r="I13" s="23"/>
      <c r="J13" s="7"/>
    </row>
    <row r="14" spans="1:11" ht="15.75" x14ac:dyDescent="0.25">
      <c r="A14" s="24"/>
      <c r="B14" s="23"/>
      <c r="C14" s="23"/>
      <c r="D14" s="23"/>
      <c r="E14" s="23"/>
      <c r="F14" s="23"/>
      <c r="G14" s="23"/>
      <c r="H14" s="23"/>
      <c r="I14" s="23"/>
      <c r="J14" s="7"/>
      <c r="K14"/>
    </row>
    <row r="15" spans="1:11" ht="15.75" x14ac:dyDescent="0.25">
      <c r="A15" s="24">
        <v>14150199</v>
      </c>
      <c r="B15" s="23" t="s">
        <v>62</v>
      </c>
      <c r="C15" s="23" t="s">
        <v>57</v>
      </c>
      <c r="D15" s="23" t="s">
        <v>58</v>
      </c>
      <c r="E15" s="23" t="s">
        <v>58</v>
      </c>
      <c r="F15" s="23" t="s">
        <v>58</v>
      </c>
      <c r="G15" s="23">
        <v>19</v>
      </c>
      <c r="H15" s="23">
        <v>1</v>
      </c>
      <c r="I15" s="23">
        <v>0</v>
      </c>
      <c r="J15" s="23">
        <v>1</v>
      </c>
      <c r="K15" s="8">
        <f>+A15</f>
        <v>14150199</v>
      </c>
    </row>
    <row r="16" spans="1:11" ht="15.75" x14ac:dyDescent="0.25">
      <c r="A16" s="24"/>
      <c r="B16" s="23"/>
      <c r="C16" s="23"/>
      <c r="D16" s="23"/>
      <c r="E16" s="23"/>
      <c r="F16" s="23"/>
      <c r="G16" s="23"/>
      <c r="H16" s="23"/>
      <c r="I16" s="23"/>
      <c r="J16" s="7"/>
      <c r="K16"/>
    </row>
    <row r="17" spans="1:11" ht="15.75" x14ac:dyDescent="0.25">
      <c r="A17" s="18">
        <v>2365</v>
      </c>
      <c r="B17" s="19" t="s">
        <v>63</v>
      </c>
      <c r="C17" s="20" t="s">
        <v>51</v>
      </c>
      <c r="D17" s="20" t="s">
        <v>52</v>
      </c>
      <c r="E17" s="20" t="s">
        <v>52</v>
      </c>
      <c r="F17" s="20" t="s">
        <v>52</v>
      </c>
      <c r="G17" s="20"/>
      <c r="H17" s="20"/>
      <c r="I17" s="20">
        <v>0</v>
      </c>
      <c r="J17" s="7">
        <v>0</v>
      </c>
      <c r="K17"/>
    </row>
    <row r="18" spans="1:11" ht="15.75" x14ac:dyDescent="0.25">
      <c r="A18" s="22">
        <v>236505</v>
      </c>
      <c r="B18" s="22" t="s">
        <v>64</v>
      </c>
      <c r="C18" s="22" t="s">
        <v>57</v>
      </c>
      <c r="D18" s="22" t="s">
        <v>58</v>
      </c>
      <c r="E18" s="22" t="s">
        <v>58</v>
      </c>
      <c r="F18" s="22" t="s">
        <v>52</v>
      </c>
      <c r="G18" s="22"/>
      <c r="H18" s="22"/>
      <c r="I18" s="22">
        <v>0</v>
      </c>
      <c r="J18" s="7">
        <v>1</v>
      </c>
      <c r="K18">
        <f>+A18</f>
        <v>236505</v>
      </c>
    </row>
    <row r="19" spans="1:11" ht="15.75" x14ac:dyDescent="0.25">
      <c r="A19" s="18">
        <v>236515</v>
      </c>
      <c r="B19" s="19" t="s">
        <v>65</v>
      </c>
      <c r="C19" s="20" t="s">
        <v>51</v>
      </c>
      <c r="D19" s="20" t="s">
        <v>52</v>
      </c>
      <c r="E19" s="20" t="s">
        <v>52</v>
      </c>
      <c r="F19" s="20" t="s">
        <v>52</v>
      </c>
      <c r="G19" s="20"/>
      <c r="H19" s="20"/>
      <c r="I19" s="20">
        <v>0</v>
      </c>
      <c r="J19" s="7">
        <v>0</v>
      </c>
      <c r="K19"/>
    </row>
    <row r="20" spans="1:11" ht="15.75" x14ac:dyDescent="0.25">
      <c r="A20" s="21">
        <v>23651501</v>
      </c>
      <c r="B20" s="22" t="s">
        <v>66</v>
      </c>
      <c r="C20" s="23" t="s">
        <v>57</v>
      </c>
      <c r="D20" s="23" t="s">
        <v>58</v>
      </c>
      <c r="E20" s="23" t="s">
        <v>58</v>
      </c>
      <c r="F20" s="23" t="s">
        <v>58</v>
      </c>
      <c r="G20" s="23">
        <v>11</v>
      </c>
      <c r="H20" s="23">
        <v>1</v>
      </c>
      <c r="I20" s="23">
        <v>0</v>
      </c>
      <c r="J20" s="23">
        <v>1</v>
      </c>
      <c r="K20" s="8">
        <f>+A20</f>
        <v>23651501</v>
      </c>
    </row>
    <row r="21" spans="1:11" ht="15.75" x14ac:dyDescent="0.25">
      <c r="A21" s="21">
        <v>23651502</v>
      </c>
      <c r="B21" s="22" t="s">
        <v>67</v>
      </c>
      <c r="C21" s="23" t="s">
        <v>57</v>
      </c>
      <c r="D21" s="23" t="s">
        <v>58</v>
      </c>
      <c r="E21" s="23" t="s">
        <v>58</v>
      </c>
      <c r="F21" s="23" t="s">
        <v>58</v>
      </c>
      <c r="G21" s="23">
        <v>10</v>
      </c>
      <c r="H21" s="23">
        <v>1</v>
      </c>
      <c r="I21" s="23">
        <v>0</v>
      </c>
      <c r="J21" s="23">
        <v>1</v>
      </c>
      <c r="K21" s="8">
        <f>+A21</f>
        <v>23651502</v>
      </c>
    </row>
    <row r="22" spans="1:11" ht="15.75" x14ac:dyDescent="0.25">
      <c r="A22" s="19">
        <v>236525</v>
      </c>
      <c r="B22" s="19" t="s">
        <v>68</v>
      </c>
      <c r="C22" s="19" t="s">
        <v>51</v>
      </c>
      <c r="D22" s="19" t="s">
        <v>52</v>
      </c>
      <c r="E22" s="19" t="s">
        <v>52</v>
      </c>
      <c r="F22" s="19" t="s">
        <v>52</v>
      </c>
      <c r="G22" s="19"/>
      <c r="H22" s="23"/>
      <c r="I22" s="19">
        <v>0</v>
      </c>
      <c r="J22" s="7">
        <v>0</v>
      </c>
      <c r="K22"/>
    </row>
    <row r="23" spans="1:11" ht="15.75" x14ac:dyDescent="0.25">
      <c r="A23" s="25">
        <v>23652501</v>
      </c>
      <c r="B23" s="22" t="s">
        <v>69</v>
      </c>
      <c r="C23" s="23" t="s">
        <v>57</v>
      </c>
      <c r="D23" s="23" t="s">
        <v>58</v>
      </c>
      <c r="E23" s="23" t="s">
        <v>58</v>
      </c>
      <c r="F23" s="23" t="s">
        <v>58</v>
      </c>
      <c r="G23" s="23">
        <v>1</v>
      </c>
      <c r="H23" s="23">
        <v>1</v>
      </c>
      <c r="I23" s="23">
        <v>0</v>
      </c>
      <c r="J23" s="23">
        <v>1</v>
      </c>
      <c r="K23" s="26">
        <f>+A23</f>
        <v>23652501</v>
      </c>
    </row>
    <row r="24" spans="1:11" ht="15.75" x14ac:dyDescent="0.25">
      <c r="A24" s="22">
        <v>23652502</v>
      </c>
      <c r="B24" s="22" t="s">
        <v>70</v>
      </c>
      <c r="C24" s="22" t="s">
        <v>57</v>
      </c>
      <c r="D24" s="22" t="s">
        <v>58</v>
      </c>
      <c r="E24" s="22" t="s">
        <v>58</v>
      </c>
      <c r="F24" s="22" t="s">
        <v>58</v>
      </c>
      <c r="G24" s="22">
        <v>2</v>
      </c>
      <c r="H24" s="23">
        <v>1</v>
      </c>
      <c r="I24" s="22">
        <v>0</v>
      </c>
      <c r="J24" s="22">
        <v>1</v>
      </c>
      <c r="K24" s="26">
        <f t="shared" ref="K24:K26" si="0">+A24</f>
        <v>23652502</v>
      </c>
    </row>
    <row r="25" spans="1:11" ht="15.75" x14ac:dyDescent="0.25">
      <c r="A25" s="22">
        <v>23652504</v>
      </c>
      <c r="B25" s="22" t="s">
        <v>71</v>
      </c>
      <c r="C25" s="22" t="s">
        <v>57</v>
      </c>
      <c r="D25" s="22" t="s">
        <v>58</v>
      </c>
      <c r="E25" s="22" t="s">
        <v>58</v>
      </c>
      <c r="F25" s="22" t="s">
        <v>58</v>
      </c>
      <c r="G25" s="22">
        <v>4</v>
      </c>
      <c r="H25" s="23">
        <v>1</v>
      </c>
      <c r="I25" s="22">
        <v>0</v>
      </c>
      <c r="J25" s="22">
        <v>1</v>
      </c>
      <c r="K25" s="26">
        <f t="shared" si="0"/>
        <v>23652504</v>
      </c>
    </row>
    <row r="26" spans="1:11" ht="15.75" x14ac:dyDescent="0.25">
      <c r="A26" s="22">
        <v>23652505</v>
      </c>
      <c r="B26" s="22" t="s">
        <v>72</v>
      </c>
      <c r="C26" s="22" t="s">
        <v>57</v>
      </c>
      <c r="D26" s="22" t="s">
        <v>58</v>
      </c>
      <c r="E26" s="22" t="s">
        <v>58</v>
      </c>
      <c r="F26" s="22" t="s">
        <v>58</v>
      </c>
      <c r="G26" s="22">
        <v>6</v>
      </c>
      <c r="H26" s="23">
        <v>1</v>
      </c>
      <c r="I26" s="22">
        <v>0</v>
      </c>
      <c r="J26" s="22">
        <v>1</v>
      </c>
      <c r="K26" s="26">
        <f t="shared" si="0"/>
        <v>23652505</v>
      </c>
    </row>
    <row r="27" spans="1:11" ht="15.75" x14ac:dyDescent="0.25">
      <c r="A27" s="22"/>
      <c r="B27" s="22"/>
      <c r="C27" s="22"/>
      <c r="D27" s="22"/>
      <c r="E27" s="22"/>
      <c r="F27" s="22"/>
      <c r="G27" s="22"/>
      <c r="H27" s="23"/>
      <c r="I27" s="22"/>
      <c r="J27" s="7"/>
      <c r="K27"/>
    </row>
    <row r="28" spans="1:11" ht="15.75" x14ac:dyDescent="0.25">
      <c r="A28" s="22"/>
      <c r="B28" s="22"/>
      <c r="C28" s="22"/>
      <c r="D28" s="22"/>
      <c r="E28" s="22"/>
      <c r="F28" s="22"/>
      <c r="G28" s="22"/>
      <c r="H28" s="23"/>
      <c r="I28" s="22"/>
      <c r="J28" s="7"/>
      <c r="K28"/>
    </row>
    <row r="29" spans="1:11" ht="15.75" x14ac:dyDescent="0.25">
      <c r="A29" s="18">
        <v>2368</v>
      </c>
      <c r="B29" s="19" t="s">
        <v>73</v>
      </c>
      <c r="C29" s="20" t="s">
        <v>51</v>
      </c>
      <c r="D29" s="20" t="s">
        <v>52</v>
      </c>
      <c r="E29" s="20" t="s">
        <v>52</v>
      </c>
      <c r="F29" s="20" t="s">
        <v>52</v>
      </c>
      <c r="G29" s="20"/>
      <c r="H29" s="20"/>
      <c r="I29" s="20">
        <v>0</v>
      </c>
      <c r="J29" s="22">
        <v>0</v>
      </c>
      <c r="K29"/>
    </row>
    <row r="30" spans="1:11" ht="15.75" x14ac:dyDescent="0.25">
      <c r="A30" s="18">
        <v>236801</v>
      </c>
      <c r="B30" s="19" t="s">
        <v>74</v>
      </c>
      <c r="C30" s="20" t="s">
        <v>51</v>
      </c>
      <c r="D30" s="20" t="s">
        <v>52</v>
      </c>
      <c r="E30" s="20" t="s">
        <v>52</v>
      </c>
      <c r="F30" s="20" t="s">
        <v>52</v>
      </c>
      <c r="G30" s="20"/>
      <c r="H30" s="20"/>
      <c r="I30" s="20">
        <v>0</v>
      </c>
      <c r="J30" s="22">
        <v>0</v>
      </c>
      <c r="K30"/>
    </row>
    <row r="31" spans="1:11" ht="15.75" x14ac:dyDescent="0.25">
      <c r="A31" s="21">
        <v>23680101</v>
      </c>
      <c r="B31" s="22" t="s">
        <v>75</v>
      </c>
      <c r="C31" s="23" t="s">
        <v>57</v>
      </c>
      <c r="D31" s="23" t="s">
        <v>58</v>
      </c>
      <c r="E31" s="23" t="s">
        <v>58</v>
      </c>
      <c r="F31" s="22" t="s">
        <v>58</v>
      </c>
      <c r="G31" s="23">
        <v>0.69</v>
      </c>
      <c r="H31" s="23">
        <v>1</v>
      </c>
      <c r="I31" s="23">
        <v>0</v>
      </c>
      <c r="J31" s="22">
        <v>1</v>
      </c>
      <c r="K31" s="8">
        <f>+A31</f>
        <v>23680101</v>
      </c>
    </row>
    <row r="32" spans="1:11" ht="15.75" x14ac:dyDescent="0.25">
      <c r="A32" s="21">
        <v>23680102</v>
      </c>
      <c r="B32" s="22" t="s">
        <v>76</v>
      </c>
      <c r="C32" s="23" t="s">
        <v>57</v>
      </c>
      <c r="D32" s="23" t="s">
        <v>58</v>
      </c>
      <c r="E32" s="23" t="s">
        <v>58</v>
      </c>
      <c r="F32" s="22" t="s">
        <v>58</v>
      </c>
      <c r="G32" s="23">
        <v>0.96599999999999997</v>
      </c>
      <c r="H32" s="23">
        <v>1</v>
      </c>
      <c r="I32" s="23">
        <v>0</v>
      </c>
      <c r="J32" s="22">
        <v>1</v>
      </c>
      <c r="K32" s="8">
        <f t="shared" ref="K32:K33" si="1">+A32</f>
        <v>23680102</v>
      </c>
    </row>
    <row r="33" spans="1:11" ht="15.75" x14ac:dyDescent="0.25">
      <c r="A33" s="21">
        <v>23680103</v>
      </c>
      <c r="B33" s="22" t="s">
        <v>77</v>
      </c>
      <c r="C33" s="23" t="s">
        <v>57</v>
      </c>
      <c r="D33" s="23" t="s">
        <v>58</v>
      </c>
      <c r="E33" s="23" t="s">
        <v>58</v>
      </c>
      <c r="F33" s="22" t="s">
        <v>58</v>
      </c>
      <c r="G33" s="23">
        <v>0.69</v>
      </c>
      <c r="H33" s="23">
        <v>1</v>
      </c>
      <c r="I33" s="23">
        <v>0</v>
      </c>
      <c r="J33" s="22">
        <v>1</v>
      </c>
      <c r="K33" s="8">
        <f t="shared" si="1"/>
        <v>23680103</v>
      </c>
    </row>
  </sheetData>
  <sheetProtection formatCells="0" formatColumns="0" formatRows="0" sort="0" autoFilter="0"/>
  <autoFilter ref="A1:K1" xr:uid="{00000000-0009-0000-0000-000000000000}"/>
  <conditionalFormatting sqref="A1">
    <cfRule type="duplicateValues" dxfId="6" priority="7"/>
    <cfRule type="duplicateValues" dxfId="5" priority="8"/>
  </conditionalFormatting>
  <conditionalFormatting sqref="A2">
    <cfRule type="duplicateValues" dxfId="4" priority="1"/>
  </conditionalFormatting>
  <conditionalFormatting sqref="A3">
    <cfRule type="duplicateValues" dxfId="3" priority="2"/>
  </conditionalFormatting>
  <conditionalFormatting sqref="A6">
    <cfRule type="duplicateValues" dxfId="2" priority="3"/>
  </conditionalFormatting>
  <conditionalFormatting sqref="A34:A1048576">
    <cfRule type="duplicateValues" dxfId="1" priority="16"/>
  </conditionalFormatting>
  <conditionalFormatting sqref="K34:K1048576">
    <cfRule type="duplicateValues" dxfId="0" priority="15"/>
  </conditionalFormatting>
  <dataValidations count="4">
    <dataValidation type="list" allowBlank="1" showInputMessage="1" showErrorMessage="1" errorTitle="Alerta" error="Valor ingresado no es válido" sqref="H2:J33 D2:F33" xr:uid="{2CF09E00-3E00-45D8-BB92-4865A579666D}">
      <formula1>#REF!</formula1>
    </dataValidation>
    <dataValidation type="list" allowBlank="1" showInputMessage="1" showErrorMessage="1" errorTitle="Alerta" error="El valor ingresado no es válido" sqref="C2:C33" xr:uid="{FAEEF096-5A88-46F8-9F8B-238A2EDFCB05}">
      <formula1>#REF!</formula1>
    </dataValidation>
    <dataValidation type="whole" allowBlank="1" showInputMessage="1" showErrorMessage="1" errorTitle="Alerta" error="Solo se admiten caracteres numéricos, máximo 15" promptTitle="Máximo 15 caracteres" sqref="A2:A33" xr:uid="{F3440786-C4AB-43F3-8EAE-6CFBE0296713}">
      <formula1>1</formula1>
      <formula2>999999999999999</formula2>
    </dataValidation>
    <dataValidation type="textLength" allowBlank="1" showInputMessage="1" showErrorMessage="1" errorTitle="Alerta" error="Longitud máxima 100 caracteres" sqref="B2:B33" xr:uid="{D12CA641-CCBB-4D91-9B07-EBFA3B352113}">
      <formula1>1</formula1>
      <formula2>100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2575-F1DE-49EE-8D83-A5A529B7E4F5}">
  <dimension ref="A1:B40"/>
  <sheetViews>
    <sheetView workbookViewId="0"/>
  </sheetViews>
  <sheetFormatPr defaultColWidth="11.42578125" defaultRowHeight="15" x14ac:dyDescent="0.25"/>
  <cols>
    <col min="1" max="1" width="12.140625" bestFit="1" customWidth="1"/>
    <col min="2" max="2" width="132" customWidth="1"/>
  </cols>
  <sheetData>
    <row r="1" spans="1:2" ht="15.75" thickBot="1" x14ac:dyDescent="0.3">
      <c r="A1" s="1" t="s">
        <v>11</v>
      </c>
      <c r="B1" s="2" t="s">
        <v>12</v>
      </c>
    </row>
    <row r="2" spans="1:2" x14ac:dyDescent="0.25">
      <c r="A2" s="27" t="s">
        <v>0</v>
      </c>
      <c r="B2" s="3" t="s">
        <v>13</v>
      </c>
    </row>
    <row r="3" spans="1:2" x14ac:dyDescent="0.25">
      <c r="A3" s="28"/>
      <c r="B3" s="4" t="s">
        <v>14</v>
      </c>
    </row>
    <row r="4" spans="1:2" x14ac:dyDescent="0.25">
      <c r="A4" s="28"/>
      <c r="B4" s="4" t="s">
        <v>15</v>
      </c>
    </row>
    <row r="5" spans="1:2" x14ac:dyDescent="0.25">
      <c r="A5" s="28"/>
      <c r="B5" s="4" t="s">
        <v>16</v>
      </c>
    </row>
    <row r="6" spans="1:2" ht="15.75" thickBot="1" x14ac:dyDescent="0.3">
      <c r="A6" s="32"/>
      <c r="B6" s="5" t="s">
        <v>17</v>
      </c>
    </row>
    <row r="7" spans="1:2" ht="15.75" thickBot="1" x14ac:dyDescent="0.3">
      <c r="A7" s="9" t="s">
        <v>1</v>
      </c>
      <c r="B7" s="3" t="s">
        <v>18</v>
      </c>
    </row>
    <row r="8" spans="1:2" x14ac:dyDescent="0.25">
      <c r="A8" s="29" t="s">
        <v>2</v>
      </c>
      <c r="B8" s="13" t="s">
        <v>19</v>
      </c>
    </row>
    <row r="9" spans="1:2" x14ac:dyDescent="0.25">
      <c r="A9" s="30"/>
      <c r="B9" s="14" t="s">
        <v>20</v>
      </c>
    </row>
    <row r="10" spans="1:2" x14ac:dyDescent="0.25">
      <c r="A10" s="30"/>
      <c r="B10" s="14" t="s">
        <v>21</v>
      </c>
    </row>
    <row r="11" spans="1:2" ht="15.75" thickBot="1" x14ac:dyDescent="0.3">
      <c r="A11" s="31"/>
      <c r="B11" s="15" t="s">
        <v>16</v>
      </c>
    </row>
    <row r="12" spans="1:2" x14ac:dyDescent="0.25">
      <c r="A12" s="29" t="s">
        <v>22</v>
      </c>
      <c r="B12" s="13" t="s">
        <v>23</v>
      </c>
    </row>
    <row r="13" spans="1:2" x14ac:dyDescent="0.25">
      <c r="A13" s="30"/>
      <c r="B13" s="14" t="s">
        <v>24</v>
      </c>
    </row>
    <row r="14" spans="1:2" x14ac:dyDescent="0.25">
      <c r="A14" s="30"/>
      <c r="B14" s="14" t="s">
        <v>25</v>
      </c>
    </row>
    <row r="15" spans="1:2" ht="15.75" thickBot="1" x14ac:dyDescent="0.3">
      <c r="A15" s="31"/>
      <c r="B15" s="15" t="s">
        <v>26</v>
      </c>
    </row>
    <row r="16" spans="1:2" x14ac:dyDescent="0.25">
      <c r="A16" s="29" t="s">
        <v>4</v>
      </c>
      <c r="B16" s="13" t="s">
        <v>27</v>
      </c>
    </row>
    <row r="17" spans="1:2" x14ac:dyDescent="0.25">
      <c r="A17" s="30"/>
      <c r="B17" s="14" t="s">
        <v>28</v>
      </c>
    </row>
    <row r="18" spans="1:2" x14ac:dyDescent="0.25">
      <c r="A18" s="30"/>
      <c r="B18" s="14" t="s">
        <v>25</v>
      </c>
    </row>
    <row r="19" spans="1:2" ht="15.75" thickBot="1" x14ac:dyDescent="0.3">
      <c r="A19" s="31"/>
      <c r="B19" s="15" t="s">
        <v>26</v>
      </c>
    </row>
    <row r="20" spans="1:2" ht="30" x14ac:dyDescent="0.25">
      <c r="A20" s="29" t="s">
        <v>29</v>
      </c>
      <c r="B20" s="13" t="s">
        <v>30</v>
      </c>
    </row>
    <row r="21" spans="1:2" x14ac:dyDescent="0.25">
      <c r="A21" s="30"/>
      <c r="B21" s="14" t="s">
        <v>31</v>
      </c>
    </row>
    <row r="22" spans="1:2" x14ac:dyDescent="0.25">
      <c r="A22" s="30"/>
      <c r="B22" s="14" t="s">
        <v>32</v>
      </c>
    </row>
    <row r="23" spans="1:2" ht="15.75" thickBot="1" x14ac:dyDescent="0.3">
      <c r="A23" s="31"/>
      <c r="B23" s="15" t="s">
        <v>33</v>
      </c>
    </row>
    <row r="24" spans="1:2" ht="30" x14ac:dyDescent="0.25">
      <c r="A24" s="29" t="s">
        <v>6</v>
      </c>
      <c r="B24" s="13" t="s">
        <v>34</v>
      </c>
    </row>
    <row r="25" spans="1:2" x14ac:dyDescent="0.25">
      <c r="A25" s="30"/>
      <c r="B25" s="14" t="s">
        <v>35</v>
      </c>
    </row>
    <row r="26" spans="1:2" ht="30.75" thickBot="1" x14ac:dyDescent="0.3">
      <c r="A26" s="31"/>
      <c r="B26" s="15" t="s">
        <v>36</v>
      </c>
    </row>
    <row r="27" spans="1:2" x14ac:dyDescent="0.25">
      <c r="A27" s="27" t="s">
        <v>7</v>
      </c>
      <c r="B27" s="3" t="s">
        <v>37</v>
      </c>
    </row>
    <row r="28" spans="1:2" x14ac:dyDescent="0.25">
      <c r="A28" s="28"/>
      <c r="B28" s="4" t="s">
        <v>38</v>
      </c>
    </row>
    <row r="29" spans="1:2" x14ac:dyDescent="0.25">
      <c r="A29" s="28"/>
      <c r="B29" s="4" t="s">
        <v>39</v>
      </c>
    </row>
    <row r="30" spans="1:2" ht="15.75" thickBot="1" x14ac:dyDescent="0.3">
      <c r="A30" s="28"/>
      <c r="B30" s="4" t="s">
        <v>40</v>
      </c>
    </row>
    <row r="31" spans="1:2" x14ac:dyDescent="0.25">
      <c r="A31" s="29" t="s">
        <v>8</v>
      </c>
      <c r="B31" s="13" t="s">
        <v>41</v>
      </c>
    </row>
    <row r="32" spans="1:2" x14ac:dyDescent="0.25">
      <c r="A32" s="30"/>
      <c r="B32" s="14" t="s">
        <v>42</v>
      </c>
    </row>
    <row r="33" spans="1:2" x14ac:dyDescent="0.25">
      <c r="A33" s="30"/>
      <c r="B33" s="14" t="s">
        <v>43</v>
      </c>
    </row>
    <row r="34" spans="1:2" ht="15.75" thickBot="1" x14ac:dyDescent="0.3">
      <c r="A34" s="31"/>
      <c r="B34" s="15" t="s">
        <v>33</v>
      </c>
    </row>
    <row r="35" spans="1:2" x14ac:dyDescent="0.25">
      <c r="A35" s="29" t="s">
        <v>9</v>
      </c>
      <c r="B35" s="13" t="s">
        <v>44</v>
      </c>
    </row>
    <row r="36" spans="1:2" x14ac:dyDescent="0.25">
      <c r="A36" s="30"/>
      <c r="B36" s="14" t="s">
        <v>45</v>
      </c>
    </row>
    <row r="37" spans="1:2" x14ac:dyDescent="0.25">
      <c r="A37" s="30"/>
      <c r="B37" s="14" t="s">
        <v>46</v>
      </c>
    </row>
    <row r="38" spans="1:2" x14ac:dyDescent="0.25">
      <c r="A38" s="30"/>
      <c r="B38" s="14" t="s">
        <v>47</v>
      </c>
    </row>
    <row r="39" spans="1:2" ht="15.75" thickBot="1" x14ac:dyDescent="0.3">
      <c r="A39" s="31"/>
      <c r="B39" s="15" t="s">
        <v>48</v>
      </c>
    </row>
    <row r="40" spans="1:2" ht="15.75" thickBot="1" x14ac:dyDescent="0.3">
      <c r="A40" s="16" t="s">
        <v>10</v>
      </c>
      <c r="B40" s="17" t="s">
        <v>49</v>
      </c>
    </row>
  </sheetData>
  <mergeCells count="9">
    <mergeCell ref="A27:A30"/>
    <mergeCell ref="A31:A34"/>
    <mergeCell ref="A35:A39"/>
    <mergeCell ref="A2:A6"/>
    <mergeCell ref="A8:A11"/>
    <mergeCell ref="A12:A15"/>
    <mergeCell ref="A16:A19"/>
    <mergeCell ref="A20:A23"/>
    <mergeCell ref="A24:A26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859bd253ee231d30331e07593f4d4eae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6940cde1857f8292869f8c1d79f7fbe9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F368619-4D73-45E8-98DC-9646B7F0F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8B1D36-B642-4DD0-8BA9-5680B719D2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73B19D-5B97-4719-8ABB-92ABA2C4C407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2010-03-01T16:55:59Z</dcterms:created>
  <dcterms:modified xsi:type="dcterms:W3CDTF">2026-09-28T22:07:53Z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